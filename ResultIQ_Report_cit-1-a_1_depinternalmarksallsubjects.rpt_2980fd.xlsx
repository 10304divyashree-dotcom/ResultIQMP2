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internalmarksallsubjects.rpt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KLN College of Engineering (Autonomous)</t>
        </is>
      </c>
    </row>
    <row r="5"/>
    <row r="6">
      <c r="A6" t="inlineStr">
        <is>
          <t xml:space="preserve">INFORMATION TECHNOLOGY DEPARTMENT </t>
        </is>
      </c>
    </row>
    <row r="7"/>
    <row r="8">
      <c r="A8" t="inlineStr">
        <is>
          <t>Consolidated Internal Mark of III rd Semester</t>
        </is>
      </c>
    </row>
    <row r="9">
      <c r="A9" t="inlineStr">
        <is>
          <t>Course             :</t>
        </is>
      </c>
      <c r="B9" t="inlineStr">
        <is>
          <t>IT</t>
        </is>
      </c>
    </row>
    <row r="10"/>
    <row r="11">
      <c r="A11" t="inlineStr">
        <is>
          <t>Academic Year :</t>
        </is>
      </c>
      <c r="B11" t="inlineStr">
        <is>
          <t>2025 - 2026</t>
        </is>
      </c>
      <c r="C11" t="inlineStr">
        <is>
          <t>Date :</t>
        </is>
      </c>
      <c r="D11" s="1" t="n">
        <v>45952</v>
      </c>
    </row>
    <row r="12"/>
    <row r="13">
      <c r="A13" t="inlineStr">
        <is>
          <t>Page -1 of 1</t>
        </is>
      </c>
    </row>
    <row r="14">
      <c r="A14" t="inlineStr">
        <is>
          <t>Internal Type    :</t>
        </is>
      </c>
      <c r="B14" t="inlineStr">
        <is>
          <t xml:space="preserve"> 1 - CENTRALISED INTERNAL TEST</t>
        </is>
      </c>
    </row>
    <row r="15"/>
    <row r="16">
      <c r="A16" t="inlineStr">
        <is>
          <t>S.No.</t>
        </is>
      </c>
      <c r="B16" t="inlineStr">
        <is>
          <t>Reg.No.</t>
        </is>
      </c>
      <c r="C16" t="inlineStr">
        <is>
          <t>First Name</t>
        </is>
      </c>
      <c r="D16" t="inlineStr">
        <is>
          <t>Roll No.</t>
        </is>
      </c>
      <c r="E16" t="inlineStr">
        <is>
          <t>Details on horizontal size   ----------------------   &gt;</t>
        </is>
      </c>
    </row>
    <row r="17">
      <c r="E17" t="inlineStr">
        <is>
          <t>24BS303.</t>
        </is>
      </c>
      <c r="F17" t="inlineStr">
        <is>
          <t>24CS301.</t>
        </is>
      </c>
      <c r="G17" t="inlineStr">
        <is>
          <t>24CS303.</t>
        </is>
      </c>
      <c r="H17" t="inlineStr">
        <is>
          <t>24HS301.</t>
        </is>
      </c>
      <c r="I17" t="inlineStr">
        <is>
          <t>24IT301.</t>
        </is>
      </c>
    </row>
    <row r="18">
      <c r="A18" s="2" t="inlineStr">
        <is>
          <t>appeared</t>
        </is>
      </c>
      <c r="B18" s="3">
        <f>1-COUNTIF(B17:B17,"aa")</f>
        <v/>
      </c>
      <c r="C18" s="3" t="n"/>
      <c r="D18" s="3" t="n"/>
      <c r="E18" s="3">
        <f>1-COUNTIF(E17:E17,"aa")</f>
        <v/>
      </c>
      <c r="F18" s="3" t="n"/>
      <c r="G18" s="3" t="n"/>
      <c r="H18" s="3" t="n"/>
      <c r="I18" s="3" t="n"/>
    </row>
    <row r="19">
      <c r="A19" s="2" t="inlineStr">
        <is>
          <t xml:space="preserve">passed </t>
        </is>
      </c>
      <c r="B19" s="3">
        <f>COUNTIF(B17:B17,"&gt;=50")</f>
        <v/>
      </c>
      <c r="C19" s="3" t="n"/>
      <c r="D19" s="3" t="n"/>
      <c r="E19" s="3">
        <f>COUNTIF(E17:E17,"&gt;=50")</f>
        <v/>
      </c>
      <c r="F19" s="3" t="n"/>
      <c r="G19" s="3" t="n"/>
      <c r="H19" s="3" t="n"/>
      <c r="I19" s="3" t="n"/>
    </row>
    <row r="20">
      <c r="A20" s="2" t="inlineStr">
        <is>
          <t>% passed</t>
        </is>
      </c>
      <c r="B20" s="3">
        <f>B19/B18*100</f>
        <v/>
      </c>
      <c r="C20" s="3" t="n"/>
      <c r="D20" s="3" t="n"/>
      <c r="E20" s="3">
        <f>E19/E18*100</f>
        <v/>
      </c>
      <c r="F20" s="3" t="n"/>
      <c r="G20" s="3" t="n"/>
      <c r="H20" s="3" t="n"/>
      <c r="I20" s="3" t="n"/>
    </row>
    <row r="21">
      <c r="A21" s="2" t="inlineStr">
        <is>
          <t>below 50%</t>
        </is>
      </c>
      <c r="B21" s="3">
        <f>COUNTIF(B17:B17,"&lt;50")</f>
        <v/>
      </c>
      <c r="C21" s="3" t="n"/>
      <c r="D21" s="3" t="n"/>
      <c r="E21" s="3">
        <f>COUNTIF(E17:E17,"&lt;50")</f>
        <v/>
      </c>
      <c r="F21" s="3" t="n"/>
      <c r="G21" s="3" t="n"/>
      <c r="H21" s="3" t="n"/>
      <c r="I21" s="3" t="n"/>
    </row>
    <row r="22">
      <c r="A22" s="2" t="inlineStr">
        <is>
          <t>50%-60%</t>
        </is>
      </c>
      <c r="B22" s="3">
        <f>COUNTIFS(B17:B17,"&gt;=50",B17:B17,"&lt;=60")</f>
        <v/>
      </c>
      <c r="C22" s="3" t="n"/>
      <c r="D22" s="3" t="n"/>
      <c r="E22" s="3">
        <f>COUNTIFS(E17:E17,"&gt;=50",E17:E17,"&lt;=60")</f>
        <v/>
      </c>
      <c r="F22" s="3" t="n"/>
      <c r="G22" s="3" t="n"/>
      <c r="H22" s="3" t="n"/>
      <c r="I22" s="3" t="n"/>
    </row>
    <row r="23">
      <c r="A23" s="2" t="inlineStr">
        <is>
          <t>61%-70%</t>
        </is>
      </c>
      <c r="B23" s="3">
        <f>COUNTIFS(B17:B17,"&gt;=61",B17:B17,"&lt;=70")</f>
        <v/>
      </c>
      <c r="C23" s="3" t="n"/>
      <c r="D23" s="3" t="n"/>
      <c r="E23" s="3">
        <f>COUNTIFS(E17:E17,"&gt;=61",E17:E17,"&lt;=70")</f>
        <v/>
      </c>
      <c r="F23" s="3" t="n"/>
      <c r="G23" s="3" t="n"/>
      <c r="H23" s="3" t="n"/>
      <c r="I23" s="3" t="n"/>
    </row>
    <row r="24">
      <c r="A24" s="2" t="inlineStr">
        <is>
          <t>71%-80%</t>
        </is>
      </c>
      <c r="B24" s="3">
        <f>COUNTIFS(B17:B17,"&gt;=71",B17:B17,"&lt;=80")</f>
        <v/>
      </c>
      <c r="C24" s="3" t="n"/>
      <c r="D24" s="3" t="n"/>
      <c r="E24" s="3">
        <f>COUNTIFS(E17:E17,"&gt;=71",E17:E17,"&lt;=80")</f>
        <v/>
      </c>
      <c r="F24" s="3" t="n"/>
      <c r="G24" s="3" t="n"/>
      <c r="H24" s="3" t="n"/>
      <c r="I24" s="3" t="n"/>
    </row>
    <row r="25">
      <c r="A25" s="2" t="inlineStr">
        <is>
          <t>81%-90%</t>
        </is>
      </c>
      <c r="B25" s="3">
        <f>COUNTIFS(B17:B17,"&gt;=81",B17:B17,"&lt;=90")</f>
        <v/>
      </c>
      <c r="C25" s="3" t="n"/>
      <c r="D25" s="3" t="n"/>
      <c r="E25" s="3">
        <f>COUNTIFS(E17:E17,"&gt;=81",E17:E17,"&lt;=90")</f>
        <v/>
      </c>
      <c r="F25" s="3" t="n"/>
      <c r="G25" s="3" t="n"/>
      <c r="H25" s="3" t="n"/>
      <c r="I25" s="3" t="n"/>
    </row>
    <row r="26">
      <c r="A26" s="2" t="inlineStr">
        <is>
          <t>91%-100%</t>
        </is>
      </c>
      <c r="B26" s="3">
        <f>COUNTIFS(B17:B17,"&gt;=91",B17:B17,"&lt;=100")</f>
        <v/>
      </c>
      <c r="C26" s="3" t="n"/>
      <c r="D26" s="3" t="n"/>
      <c r="E26" s="3">
        <f>COUNTIFS(E17:E17,"&gt;=91",E17:E17,"&lt;=100")</f>
        <v/>
      </c>
      <c r="F26" s="3" t="n"/>
      <c r="G26" s="3" t="n"/>
      <c r="H26" s="3" t="n"/>
      <c r="I26" s="3" t="n"/>
    </row>
    <row r="27">
      <c r="C27" t="inlineStr">
        <is>
          <t>SANTHOSH  P M</t>
        </is>
      </c>
      <c r="D27" t="n">
        <v>255902</v>
      </c>
      <c r="E27" t="n">
        <v>12</v>
      </c>
      <c r="F27" t="n">
        <v>50</v>
      </c>
      <c r="G27" t="n">
        <v>11</v>
      </c>
      <c r="H27" t="n">
        <v>50</v>
      </c>
      <c r="I27" t="n">
        <v>22</v>
      </c>
    </row>
    <row r="28">
      <c r="B28" t="inlineStr">
        <is>
          <t>-</t>
        </is>
      </c>
      <c r="C28" t="inlineStr">
        <is>
          <t>THILAK RAJ  S</t>
        </is>
      </c>
      <c r="D28" t="n">
        <v>255903</v>
      </c>
      <c r="E28" t="n">
        <v>0</v>
      </c>
      <c r="F28" t="inlineStr">
        <is>
          <t>AA</t>
        </is>
      </c>
      <c r="G28" t="n">
        <v>0</v>
      </c>
      <c r="H28" t="n">
        <v>30</v>
      </c>
      <c r="I28" t="n">
        <v>0</v>
      </c>
    </row>
    <row r="29">
      <c r="A29" t="n">
        <v>1</v>
      </c>
      <c r="B29" t="n">
        <v>910624105041</v>
      </c>
      <c r="C29" t="inlineStr">
        <is>
          <t>MAHIMA NATARAJAN</t>
        </is>
      </c>
      <c r="D29" t="n">
        <v>245006</v>
      </c>
      <c r="E29" t="n">
        <v>90</v>
      </c>
      <c r="F29" t="n">
        <v>99</v>
      </c>
      <c r="G29" t="n">
        <v>94</v>
      </c>
      <c r="H29" t="n">
        <v>94</v>
      </c>
      <c r="I29" t="n">
        <v>94</v>
      </c>
    </row>
    <row r="30">
      <c r="A30" t="n">
        <v>2</v>
      </c>
      <c r="B30" t="n">
        <v>910624105033</v>
      </c>
      <c r="C30" t="inlineStr">
        <is>
          <t>KASAMUTHU  L</t>
        </is>
      </c>
      <c r="D30" t="n">
        <v>245007</v>
      </c>
      <c r="E30" t="n">
        <v>20</v>
      </c>
      <c r="F30" t="n">
        <v>40</v>
      </c>
      <c r="G30" t="n">
        <v>52</v>
      </c>
      <c r="H30" t="n">
        <v>68</v>
      </c>
      <c r="I30" t="n">
        <v>58</v>
      </c>
    </row>
    <row r="31">
      <c r="A31" t="n">
        <v>3</v>
      </c>
      <c r="B31" t="n">
        <v>910624105022</v>
      </c>
      <c r="C31" t="inlineStr">
        <is>
          <t>GOWTHAM  R</t>
        </is>
      </c>
      <c r="D31" t="n">
        <v>245008</v>
      </c>
      <c r="E31" t="n">
        <v>16</v>
      </c>
      <c r="F31" t="n">
        <v>16</v>
      </c>
      <c r="G31" t="n">
        <v>29</v>
      </c>
      <c r="H31" t="n">
        <v>50</v>
      </c>
      <c r="I31" t="n">
        <v>50</v>
      </c>
    </row>
    <row r="32">
      <c r="A32" t="n">
        <v>4</v>
      </c>
      <c r="B32" t="n">
        <v>910624105030</v>
      </c>
      <c r="C32" t="inlineStr">
        <is>
          <t>JEGAAN  V N</t>
        </is>
      </c>
      <c r="D32" t="n">
        <v>245010</v>
      </c>
      <c r="E32" t="n">
        <v>66</v>
      </c>
      <c r="F32" t="inlineStr">
        <is>
          <t>AA</t>
        </is>
      </c>
      <c r="G32" t="n">
        <v>49</v>
      </c>
      <c r="H32" t="inlineStr">
        <is>
          <t>AA</t>
        </is>
      </c>
      <c r="I32" t="inlineStr">
        <is>
          <t>AA</t>
        </is>
      </c>
    </row>
    <row r="33">
      <c r="A33" t="n">
        <v>5</v>
      </c>
      <c r="B33" t="n">
        <v>910624105005</v>
      </c>
      <c r="C33" t="inlineStr">
        <is>
          <t>ARUN  R G</t>
        </is>
      </c>
      <c r="D33" t="n">
        <v>245011</v>
      </c>
      <c r="E33" t="inlineStr">
        <is>
          <t>AA</t>
        </is>
      </c>
      <c r="F33" t="n">
        <v>99</v>
      </c>
      <c r="G33" t="n">
        <v>88</v>
      </c>
      <c r="H33" t="n">
        <v>82</v>
      </c>
      <c r="I33" t="n">
        <v>88</v>
      </c>
    </row>
    <row r="34">
      <c r="A34" t="n">
        <v>6</v>
      </c>
      <c r="B34" t="n">
        <v>910624105032</v>
      </c>
      <c r="C34" t="inlineStr">
        <is>
          <t>KARTHIKEYAN  S</t>
        </is>
      </c>
      <c r="D34" t="n">
        <v>245013</v>
      </c>
      <c r="E34" t="n">
        <v>50</v>
      </c>
      <c r="F34" t="n">
        <v>92</v>
      </c>
      <c r="G34" t="n">
        <v>71</v>
      </c>
      <c r="H34" t="n">
        <v>70</v>
      </c>
      <c r="I34" t="inlineStr">
        <is>
          <t>AA</t>
        </is>
      </c>
    </row>
    <row r="35">
      <c r="A35" t="n">
        <v>7</v>
      </c>
      <c r="B35" t="n">
        <v>910624105038</v>
      </c>
      <c r="C35" t="inlineStr">
        <is>
          <t>KISHORE KUMAR  A K</t>
        </is>
      </c>
      <c r="D35" t="n">
        <v>245014</v>
      </c>
      <c r="E35" t="n">
        <v>61</v>
      </c>
      <c r="F35" t="n">
        <v>73</v>
      </c>
      <c r="G35" t="n">
        <v>78</v>
      </c>
      <c r="H35" t="n">
        <v>83</v>
      </c>
      <c r="I35" t="n">
        <v>62</v>
      </c>
    </row>
    <row r="36">
      <c r="A36" t="n">
        <v>8</v>
      </c>
      <c r="B36" t="n">
        <v>910624105037</v>
      </c>
      <c r="C36" t="inlineStr">
        <is>
          <t>KISHORE  C</t>
        </is>
      </c>
      <c r="D36" t="n">
        <v>245018</v>
      </c>
      <c r="E36" t="n">
        <v>66</v>
      </c>
      <c r="F36" t="n">
        <v>99</v>
      </c>
      <c r="G36" t="n">
        <v>65</v>
      </c>
      <c r="H36" t="n">
        <v>76</v>
      </c>
      <c r="I36" t="n">
        <v>84</v>
      </c>
    </row>
    <row r="37">
      <c r="A37" t="n">
        <v>9</v>
      </c>
      <c r="B37" t="n">
        <v>910624105013</v>
      </c>
      <c r="C37" t="inlineStr">
        <is>
          <t>DHANUSH  R J</t>
        </is>
      </c>
      <c r="D37" t="n">
        <v>245019</v>
      </c>
      <c r="E37" t="n">
        <v>83</v>
      </c>
      <c r="F37" t="n">
        <v>90</v>
      </c>
      <c r="G37" t="n">
        <v>86</v>
      </c>
      <c r="H37" t="n">
        <v>80</v>
      </c>
      <c r="I37" t="n">
        <v>84</v>
      </c>
    </row>
    <row r="38">
      <c r="A38" t="n">
        <v>10</v>
      </c>
      <c r="B38" t="n">
        <v>910624105015</v>
      </c>
      <c r="C38" t="inlineStr">
        <is>
          <t>DHARSHINI SRI  R</t>
        </is>
      </c>
      <c r="D38" t="n">
        <v>245020</v>
      </c>
      <c r="E38" t="n">
        <v>53</v>
      </c>
      <c r="F38" t="n">
        <v>84</v>
      </c>
      <c r="G38" t="n">
        <v>97</v>
      </c>
      <c r="H38" t="n">
        <v>84</v>
      </c>
      <c r="I38" t="n">
        <v>76</v>
      </c>
    </row>
    <row r="39">
      <c r="A39" t="n">
        <v>11</v>
      </c>
      <c r="B39" t="n">
        <v>910624105029</v>
      </c>
      <c r="C39" t="inlineStr">
        <is>
          <t>JAI GANESH  B</t>
        </is>
      </c>
      <c r="D39" t="n">
        <v>245021</v>
      </c>
      <c r="E39" t="n">
        <v>95</v>
      </c>
      <c r="F39" t="n">
        <v>94</v>
      </c>
      <c r="G39" t="n">
        <v>96</v>
      </c>
      <c r="H39" t="n">
        <v>84</v>
      </c>
      <c r="I39" t="n">
        <v>92</v>
      </c>
    </row>
    <row r="40">
      <c r="A40" t="n">
        <v>12</v>
      </c>
      <c r="B40" t="n">
        <v>910624105002</v>
      </c>
      <c r="C40" t="inlineStr">
        <is>
          <t>AKSHAYA  D</t>
        </is>
      </c>
      <c r="D40" t="n">
        <v>245022</v>
      </c>
      <c r="E40" t="n">
        <v>60</v>
      </c>
      <c r="F40" t="n">
        <v>50</v>
      </c>
      <c r="G40" t="n">
        <v>41</v>
      </c>
      <c r="H40" t="n">
        <v>80</v>
      </c>
      <c r="I40" t="n">
        <v>50</v>
      </c>
    </row>
    <row r="41">
      <c r="A41" t="n">
        <v>13</v>
      </c>
      <c r="B41" t="n">
        <v>910624105007</v>
      </c>
      <c r="C41" t="inlineStr">
        <is>
          <t>BALAJI  R J</t>
        </is>
      </c>
      <c r="D41" t="n">
        <v>245027</v>
      </c>
      <c r="E41" t="n">
        <v>63</v>
      </c>
      <c r="F41" t="n">
        <v>94</v>
      </c>
      <c r="G41" t="n">
        <v>44</v>
      </c>
      <c r="H41" t="n">
        <v>68</v>
      </c>
      <c r="I41" t="n">
        <v>68</v>
      </c>
    </row>
    <row r="42">
      <c r="A42" t="n">
        <v>14</v>
      </c>
      <c r="B42" t="n">
        <v>910624105006</v>
      </c>
      <c r="C42" t="inlineStr">
        <is>
          <t>AZHAGUMUTHU  K</t>
        </is>
      </c>
      <c r="D42" t="n">
        <v>245028</v>
      </c>
      <c r="E42" t="n">
        <v>71</v>
      </c>
      <c r="F42" t="n">
        <v>82</v>
      </c>
      <c r="G42" t="n">
        <v>77</v>
      </c>
      <c r="H42" t="n">
        <v>80</v>
      </c>
      <c r="I42" t="n">
        <v>89</v>
      </c>
    </row>
    <row r="43">
      <c r="A43" t="n">
        <v>15</v>
      </c>
      <c r="B43" t="n">
        <v>910624105020</v>
      </c>
      <c r="C43" t="inlineStr">
        <is>
          <t>GOGULAKRISHNAN  S</t>
        </is>
      </c>
      <c r="D43" t="n">
        <v>245031</v>
      </c>
      <c r="E43" t="n">
        <v>77</v>
      </c>
      <c r="F43" t="n">
        <v>92</v>
      </c>
      <c r="G43" t="n">
        <v>62</v>
      </c>
      <c r="H43" t="n">
        <v>80</v>
      </c>
      <c r="I43" t="n">
        <v>72</v>
      </c>
    </row>
    <row r="44">
      <c r="A44" t="n">
        <v>16</v>
      </c>
      <c r="B44" t="n">
        <v>910624105044</v>
      </c>
      <c r="C44" t="inlineStr">
        <is>
          <t>MURTHUZA ALI  A</t>
        </is>
      </c>
      <c r="D44" t="n">
        <v>245032</v>
      </c>
      <c r="E44" t="n">
        <v>14</v>
      </c>
      <c r="F44" t="n">
        <v>50</v>
      </c>
      <c r="G44" t="n">
        <v>20</v>
      </c>
      <c r="H44" t="n">
        <v>50</v>
      </c>
      <c r="I44" t="n">
        <v>50</v>
      </c>
    </row>
    <row r="45">
      <c r="A45" t="n">
        <v>17</v>
      </c>
      <c r="B45" t="n">
        <v>910624105011</v>
      </c>
      <c r="C45" t="inlineStr">
        <is>
          <t>DEVAKUMAR  R B</t>
        </is>
      </c>
      <c r="D45" t="n">
        <v>245033</v>
      </c>
      <c r="E45" t="n">
        <v>85</v>
      </c>
      <c r="F45" t="n">
        <v>88</v>
      </c>
      <c r="G45" t="n">
        <v>60</v>
      </c>
      <c r="H45" t="n">
        <v>86</v>
      </c>
      <c r="I45" t="n">
        <v>90</v>
      </c>
    </row>
    <row r="46">
      <c r="A46" t="n">
        <v>18</v>
      </c>
      <c r="B46" t="n">
        <v>910624105017</v>
      </c>
      <c r="C46" t="inlineStr">
        <is>
          <t>DIVYA  S</t>
        </is>
      </c>
      <c r="D46" t="n">
        <v>245034</v>
      </c>
      <c r="E46" t="inlineStr">
        <is>
          <t>AA</t>
        </is>
      </c>
      <c r="F46" t="n">
        <v>26</v>
      </c>
      <c r="G46" t="n">
        <v>12</v>
      </c>
      <c r="H46" t="n">
        <v>54</v>
      </c>
      <c r="I46" t="n">
        <v>8</v>
      </c>
    </row>
    <row r="47">
      <c r="A47" t="n">
        <v>19</v>
      </c>
      <c r="B47" t="n">
        <v>910624105018</v>
      </c>
      <c r="C47" t="inlineStr">
        <is>
          <t>ELAMARAN  M</t>
        </is>
      </c>
      <c r="D47" t="n">
        <v>245036</v>
      </c>
      <c r="E47" t="n">
        <v>9</v>
      </c>
      <c r="F47" t="n">
        <v>74</v>
      </c>
      <c r="G47" t="inlineStr">
        <is>
          <t>AA</t>
        </is>
      </c>
      <c r="H47" t="n">
        <v>60</v>
      </c>
      <c r="I47" t="n">
        <v>60</v>
      </c>
    </row>
    <row r="48">
      <c r="A48" t="n">
        <v>20</v>
      </c>
      <c r="B48" t="n">
        <v>910624105001</v>
      </c>
      <c r="C48" t="inlineStr">
        <is>
          <t>AHILESH  D</t>
        </is>
      </c>
      <c r="D48" t="n">
        <v>245038</v>
      </c>
      <c r="E48" t="n">
        <v>58</v>
      </c>
      <c r="F48" t="n">
        <v>72</v>
      </c>
      <c r="G48" t="n">
        <v>75</v>
      </c>
      <c r="H48" t="n">
        <v>70</v>
      </c>
      <c r="I48" t="n">
        <v>50</v>
      </c>
    </row>
    <row r="49">
      <c r="A49" t="n">
        <v>21</v>
      </c>
      <c r="B49" t="n">
        <v>910624105023</v>
      </c>
      <c r="C49" t="inlineStr">
        <is>
          <t>HARINI  P</t>
        </is>
      </c>
      <c r="D49" t="n">
        <v>245102</v>
      </c>
      <c r="E49" t="n">
        <v>58</v>
      </c>
      <c r="F49" t="n">
        <v>95</v>
      </c>
      <c r="G49" t="n">
        <v>66</v>
      </c>
      <c r="H49" t="n">
        <v>80</v>
      </c>
      <c r="I49" t="n">
        <v>83</v>
      </c>
    </row>
    <row r="50">
      <c r="A50" t="n">
        <v>22</v>
      </c>
      <c r="B50" t="n">
        <v>910624105039</v>
      </c>
      <c r="C50" t="inlineStr">
        <is>
          <t>MADHUSHYAM  C V</t>
        </is>
      </c>
      <c r="D50" t="n">
        <v>245104</v>
      </c>
      <c r="E50" t="n">
        <v>54</v>
      </c>
      <c r="F50" t="n">
        <v>50</v>
      </c>
      <c r="G50" t="n">
        <v>76</v>
      </c>
      <c r="H50" t="n">
        <v>52</v>
      </c>
      <c r="I50" t="n">
        <v>50</v>
      </c>
    </row>
    <row r="51">
      <c r="A51" t="n">
        <v>23</v>
      </c>
      <c r="B51" t="n">
        <v>910624105027</v>
      </c>
      <c r="C51" t="inlineStr">
        <is>
          <t>HEMA  T K</t>
        </is>
      </c>
      <c r="D51" t="n">
        <v>245108</v>
      </c>
      <c r="E51" t="n">
        <v>68</v>
      </c>
      <c r="F51" t="n">
        <v>89</v>
      </c>
      <c r="G51" t="n">
        <v>62</v>
      </c>
      <c r="H51" t="n">
        <v>64</v>
      </c>
      <c r="I51" t="n">
        <v>72</v>
      </c>
    </row>
    <row r="52">
      <c r="A52" t="n">
        <v>24</v>
      </c>
      <c r="B52" t="n">
        <v>910624105024</v>
      </c>
      <c r="C52" t="inlineStr">
        <is>
          <t>HARISH RAJA  K K</t>
        </is>
      </c>
      <c r="D52" t="n">
        <v>245110</v>
      </c>
      <c r="E52" t="n">
        <v>50</v>
      </c>
      <c r="F52" t="n">
        <v>74</v>
      </c>
      <c r="G52" t="n">
        <v>24</v>
      </c>
      <c r="H52" t="n">
        <v>58</v>
      </c>
      <c r="I52" t="n">
        <v>56</v>
      </c>
    </row>
    <row r="53">
      <c r="A53" t="n">
        <v>25</v>
      </c>
      <c r="B53" t="n">
        <v>910624105028</v>
      </c>
      <c r="C53" t="inlineStr">
        <is>
          <t>JAGAPRAVIN  K R D</t>
        </is>
      </c>
      <c r="D53" t="n">
        <v>245115</v>
      </c>
      <c r="E53" t="n">
        <v>32</v>
      </c>
      <c r="F53" t="n">
        <v>86</v>
      </c>
      <c r="G53" t="n">
        <v>18</v>
      </c>
      <c r="H53" t="n">
        <v>60</v>
      </c>
      <c r="I53" t="n">
        <v>56</v>
      </c>
    </row>
    <row r="54">
      <c r="A54" t="n">
        <v>26</v>
      </c>
      <c r="B54" t="n">
        <v>910624105036</v>
      </c>
      <c r="C54" t="inlineStr">
        <is>
          <t>KIRUTHIGA  G J</t>
        </is>
      </c>
      <c r="D54" t="n">
        <v>245116</v>
      </c>
      <c r="E54" t="n">
        <v>95</v>
      </c>
      <c r="F54" t="n">
        <v>98</v>
      </c>
      <c r="G54" t="n">
        <v>88</v>
      </c>
      <c r="H54" t="n">
        <v>82</v>
      </c>
      <c r="I54" t="n">
        <v>80</v>
      </c>
    </row>
    <row r="55">
      <c r="A55" t="n">
        <v>27</v>
      </c>
      <c r="B55" t="n">
        <v>910624105004</v>
      </c>
      <c r="C55" t="inlineStr">
        <is>
          <t>AMRITA  G S</t>
        </is>
      </c>
      <c r="D55" t="n">
        <v>245301</v>
      </c>
      <c r="E55" t="n">
        <v>75</v>
      </c>
      <c r="F55" t="n">
        <v>99</v>
      </c>
      <c r="G55" t="n">
        <v>81</v>
      </c>
      <c r="H55" t="n">
        <v>69</v>
      </c>
      <c r="I55" t="n">
        <v>80</v>
      </c>
    </row>
    <row r="56">
      <c r="A56" t="n">
        <v>28</v>
      </c>
      <c r="B56" t="n">
        <v>910624105014</v>
      </c>
      <c r="C56" t="inlineStr">
        <is>
          <t>DHARSHINI SHREE  K</t>
        </is>
      </c>
      <c r="D56" t="n">
        <v>245302</v>
      </c>
      <c r="E56" t="n">
        <v>74</v>
      </c>
      <c r="F56" t="n">
        <v>74</v>
      </c>
      <c r="G56" t="n">
        <v>17</v>
      </c>
      <c r="H56" t="n">
        <v>64</v>
      </c>
      <c r="I56" t="n">
        <v>73</v>
      </c>
    </row>
    <row r="57">
      <c r="A57" t="n">
        <v>29</v>
      </c>
      <c r="B57" t="n">
        <v>910624105045</v>
      </c>
      <c r="C57" t="inlineStr">
        <is>
          <t>NITHISH RAJA  M</t>
        </is>
      </c>
      <c r="D57" t="n">
        <v>245306</v>
      </c>
      <c r="E57" t="n">
        <v>54</v>
      </c>
      <c r="F57" t="n">
        <v>86</v>
      </c>
      <c r="G57" t="n">
        <v>12</v>
      </c>
      <c r="H57" t="n">
        <v>50</v>
      </c>
      <c r="I57" t="n">
        <v>52</v>
      </c>
    </row>
    <row r="58">
      <c r="A58" t="n">
        <v>30</v>
      </c>
      <c r="B58" t="n">
        <v>910624105009</v>
      </c>
      <c r="C58" t="inlineStr">
        <is>
          <t>BHUVANESH SRI  V</t>
        </is>
      </c>
      <c r="D58" t="n">
        <v>245307</v>
      </c>
      <c r="E58" t="n">
        <v>54</v>
      </c>
      <c r="F58" t="n">
        <v>66</v>
      </c>
      <c r="G58" t="n">
        <v>41</v>
      </c>
      <c r="H58" t="n">
        <v>60</v>
      </c>
      <c r="I58" t="n">
        <v>86</v>
      </c>
    </row>
    <row r="59">
      <c r="A59" t="n">
        <v>31</v>
      </c>
      <c r="B59" t="n">
        <v>910624105003</v>
      </c>
      <c r="C59" t="inlineStr">
        <is>
          <t>AMIRTHAVARSHINI  M</t>
        </is>
      </c>
      <c r="D59" t="n">
        <v>245308</v>
      </c>
      <c r="E59" t="n">
        <v>59</v>
      </c>
      <c r="F59" t="n">
        <v>72</v>
      </c>
      <c r="G59" t="n">
        <v>53</v>
      </c>
      <c r="H59" t="n">
        <v>60</v>
      </c>
      <c r="I59" t="n">
        <v>51</v>
      </c>
    </row>
    <row r="60">
      <c r="A60" t="n">
        <v>32</v>
      </c>
      <c r="B60" t="n">
        <v>910624105012</v>
      </c>
      <c r="C60" t="inlineStr">
        <is>
          <t>DEVANANTH  R</t>
        </is>
      </c>
      <c r="D60" t="n">
        <v>245309</v>
      </c>
      <c r="E60" t="n">
        <v>50</v>
      </c>
      <c r="F60" t="n">
        <v>22</v>
      </c>
      <c r="G60" t="n">
        <v>10</v>
      </c>
      <c r="H60" t="n">
        <v>30</v>
      </c>
      <c r="I60" t="n">
        <v>50</v>
      </c>
    </row>
    <row r="61">
      <c r="A61" t="n">
        <v>33</v>
      </c>
      <c r="B61" t="n">
        <v>910624105010</v>
      </c>
      <c r="C61" t="inlineStr">
        <is>
          <t>CHARUMATHI  R</t>
        </is>
      </c>
      <c r="D61" t="n">
        <v>245313</v>
      </c>
      <c r="E61" t="n">
        <v>58</v>
      </c>
      <c r="F61" t="n">
        <v>68</v>
      </c>
      <c r="G61" t="n">
        <v>62</v>
      </c>
      <c r="H61" t="n">
        <v>62</v>
      </c>
      <c r="I61" t="n">
        <v>50</v>
      </c>
    </row>
    <row r="62">
      <c r="A62" t="n">
        <v>34</v>
      </c>
      <c r="B62" t="n">
        <v>910624105034</v>
      </c>
      <c r="C62" t="inlineStr">
        <is>
          <t>KATHIRVEL  S</t>
        </is>
      </c>
      <c r="D62" t="n">
        <v>245316</v>
      </c>
      <c r="E62" t="n">
        <v>56</v>
      </c>
      <c r="F62" t="n">
        <v>62</v>
      </c>
      <c r="G62" t="n">
        <v>34</v>
      </c>
      <c r="H62" t="n">
        <v>66</v>
      </c>
      <c r="I62" t="n">
        <v>55</v>
      </c>
    </row>
    <row r="63">
      <c r="A63" t="n">
        <v>35</v>
      </c>
      <c r="B63" t="n">
        <v>910624105016</v>
      </c>
      <c r="C63" t="inlineStr">
        <is>
          <t>DHEEKSHA  S</t>
        </is>
      </c>
      <c r="D63" t="n">
        <v>245317</v>
      </c>
      <c r="E63" t="n">
        <v>32</v>
      </c>
      <c r="F63" t="n">
        <v>25</v>
      </c>
      <c r="G63" t="n">
        <v>34</v>
      </c>
      <c r="H63" t="n">
        <v>50</v>
      </c>
      <c r="I63" t="n">
        <v>50</v>
      </c>
    </row>
    <row r="64">
      <c r="A64" t="n">
        <v>36</v>
      </c>
      <c r="B64" t="n">
        <v>910624105035</v>
      </c>
      <c r="C64" t="inlineStr">
        <is>
          <t>KEERTHI PRIYA  M</t>
        </is>
      </c>
      <c r="D64" t="n">
        <v>245318</v>
      </c>
      <c r="E64" t="n">
        <v>20</v>
      </c>
      <c r="F64" t="n">
        <v>60</v>
      </c>
      <c r="G64" t="n">
        <v>20</v>
      </c>
      <c r="H64" t="n">
        <v>54</v>
      </c>
      <c r="I64" t="n">
        <v>32</v>
      </c>
    </row>
    <row r="65">
      <c r="A65" t="n">
        <v>37</v>
      </c>
      <c r="B65" t="n">
        <v>910624105043</v>
      </c>
      <c r="C65" t="inlineStr">
        <is>
          <t>MUKESH  K</t>
        </is>
      </c>
      <c r="D65" t="n">
        <v>245319</v>
      </c>
      <c r="E65" t="n">
        <v>50</v>
      </c>
      <c r="F65" t="n">
        <v>24</v>
      </c>
      <c r="G65" t="n">
        <v>9</v>
      </c>
      <c r="H65" t="n">
        <v>54</v>
      </c>
      <c r="I65" t="n">
        <v>60</v>
      </c>
    </row>
    <row r="66">
      <c r="A66" t="n">
        <v>38</v>
      </c>
      <c r="B66" t="n">
        <v>910624105042</v>
      </c>
      <c r="C66" t="inlineStr">
        <is>
          <t>MANGAIYARKARASI  R</t>
        </is>
      </c>
      <c r="D66" t="n">
        <v>245321</v>
      </c>
      <c r="E66" t="n">
        <v>41</v>
      </c>
      <c r="F66" t="n">
        <v>60</v>
      </c>
      <c r="G66" t="n">
        <v>25</v>
      </c>
      <c r="H66" t="n">
        <v>60</v>
      </c>
      <c r="I66" t="n">
        <v>71</v>
      </c>
    </row>
    <row r="67">
      <c r="A67" t="n">
        <v>39</v>
      </c>
      <c r="B67" t="n">
        <v>910624105019</v>
      </c>
      <c r="C67" t="inlineStr">
        <is>
          <t>GAUTHAM BALA  P</t>
        </is>
      </c>
      <c r="D67" t="n">
        <v>245324</v>
      </c>
      <c r="E67" t="n">
        <v>79</v>
      </c>
      <c r="F67" t="n">
        <v>96</v>
      </c>
      <c r="G67" t="n">
        <v>64</v>
      </c>
      <c r="H67" t="n">
        <v>62</v>
      </c>
      <c r="I67" t="n">
        <v>70</v>
      </c>
    </row>
    <row r="68">
      <c r="A68" t="n">
        <v>40</v>
      </c>
      <c r="B68" t="n">
        <v>910624105025</v>
      </c>
      <c r="C68" t="inlineStr">
        <is>
          <t>HARITHA  R</t>
        </is>
      </c>
      <c r="D68" t="n">
        <v>245326</v>
      </c>
      <c r="E68" t="n">
        <v>62</v>
      </c>
      <c r="F68" t="n">
        <v>84</v>
      </c>
      <c r="G68" t="n">
        <v>31</v>
      </c>
      <c r="H68" t="n">
        <v>74</v>
      </c>
      <c r="I68" t="n">
        <v>88</v>
      </c>
    </row>
    <row r="69">
      <c r="A69" t="n">
        <v>41</v>
      </c>
      <c r="B69" t="n">
        <v>910624105026</v>
      </c>
      <c r="C69" t="inlineStr">
        <is>
          <t>HEMA PRIYA  M</t>
        </is>
      </c>
      <c r="D69" t="n">
        <v>245328</v>
      </c>
      <c r="E69" t="n">
        <v>65</v>
      </c>
      <c r="F69" t="n">
        <v>90</v>
      </c>
      <c r="G69" t="n">
        <v>32</v>
      </c>
      <c r="H69" t="n">
        <v>80</v>
      </c>
      <c r="I69" t="n">
        <v>80</v>
      </c>
    </row>
    <row r="70">
      <c r="A70" t="n">
        <v>42</v>
      </c>
      <c r="B70" t="n">
        <v>910624105008</v>
      </c>
      <c r="C70" t="inlineStr">
        <is>
          <t>BALAVISAKAN  M</t>
        </is>
      </c>
      <c r="D70" t="n">
        <v>245330</v>
      </c>
      <c r="E70" t="n">
        <v>87</v>
      </c>
      <c r="F70" t="n">
        <v>98</v>
      </c>
      <c r="G70" t="n">
        <v>81</v>
      </c>
      <c r="H70" t="n">
        <v>81</v>
      </c>
      <c r="I70" t="n">
        <v>91</v>
      </c>
    </row>
    <row r="71">
      <c r="A71" t="n">
        <v>43</v>
      </c>
      <c r="B71" t="n">
        <v>910624105021</v>
      </c>
      <c r="C71" t="inlineStr">
        <is>
          <t>GOPIKASREE  K</t>
        </is>
      </c>
      <c r="D71" t="n">
        <v>245331</v>
      </c>
      <c r="E71" t="n">
        <v>53</v>
      </c>
      <c r="F71" t="n">
        <v>70</v>
      </c>
      <c r="G71" t="n">
        <v>27</v>
      </c>
      <c r="H71" t="n">
        <v>76</v>
      </c>
      <c r="I71" t="n">
        <v>52</v>
      </c>
    </row>
    <row r="72">
      <c r="A72" t="n">
        <v>44</v>
      </c>
      <c r="B72" t="n">
        <v>910624105040</v>
      </c>
      <c r="C72" t="inlineStr">
        <is>
          <t>MAHESH RAJ  P</t>
        </is>
      </c>
      <c r="D72" t="n">
        <v>245334</v>
      </c>
      <c r="E72" t="n">
        <v>50</v>
      </c>
      <c r="F72" t="n">
        <v>50</v>
      </c>
      <c r="G72" t="n">
        <v>67</v>
      </c>
      <c r="H72" t="n">
        <v>56</v>
      </c>
      <c r="I72" t="n">
        <v>68</v>
      </c>
    </row>
    <row r="73">
      <c r="A73" t="n">
        <v>45</v>
      </c>
      <c r="B73" t="n">
        <v>910624105031</v>
      </c>
      <c r="C73" t="inlineStr">
        <is>
          <t>KALAI SELVI  A</t>
        </is>
      </c>
      <c r="D73" t="n">
        <v>245335</v>
      </c>
      <c r="E73" t="n">
        <v>99</v>
      </c>
      <c r="F73" t="n">
        <v>90</v>
      </c>
      <c r="G73" t="n">
        <v>70</v>
      </c>
      <c r="H73" t="n">
        <v>84</v>
      </c>
      <c r="I73" t="n">
        <v>93</v>
      </c>
    </row>
    <row r="74">
      <c r="A74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2026-10-02T17:29:49Z</dcterms:created>
  <dcterms:modified xsi:type="dcterms:W3CDTF">2026-10-02T17:30:03Z</dcterms:modified>
</cp:coreProperties>
</file>