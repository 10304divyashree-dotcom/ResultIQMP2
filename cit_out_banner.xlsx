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internalmarksallsubjects.rpt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"/>
  </numFmts>
  <fonts count="6">
    <font>
      <name val="Calibri"/>
      <family val="2"/>
      <color theme="1"/>
      <sz val="11"/>
      <scheme val="minor"/>
    </font>
    <font>
      <name val="Times New Roman"/>
      <sz val="12"/>
    </font>
    <font>
      <name val="Arial"/>
      <b val="1"/>
      <sz val="12"/>
    </font>
    <font>
      <name val="Arial"/>
      <sz val="11"/>
    </font>
    <font>
      <name val="Arial"/>
      <color rgb="009C0006"/>
      <sz val="11"/>
    </font>
    <font>
      <name val="Arial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7F7F7F"/>
        <bgColor rgb="007F7F7F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0" borderId="1" pivotButton="0" quotePrefix="0" xfId="0"/>
    <xf numFmtId="165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Arial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000000"/>
        <sz val="11"/>
      </font>
      <fill>
        <patternFill patternType="solid">
          <fgColor rgb="007F7F7F"/>
          <bgColor rgb="007F7F7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.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56" customHeight="1">
      <c r="A1" s="1" t="inlineStr">
        <is>
          <t xml:space="preserve">Course/Branch  : B.Tech / IT			Subject     : Object Oriented Programming
Duration	: July.2025 – Nov.2025	Subject Code   :24CS301 	Regulation: R2024         
Semester	: III	Section:B 		Staff handling: Dr.G.Ramesh, Professor/IT	 </t>
        </is>
      </c>
    </row>
    <row r="2" ht="35.5" customHeight="1">
      <c r="A2" s="2" t="inlineStr">
        <is>
          <t>Result Analysis</t>
        </is>
      </c>
    </row>
    <row r="3" ht="37.25" customHeight="1">
      <c r="E3" s="3" t="inlineStr">
        <is>
          <t>24BS303.</t>
        </is>
      </c>
      <c r="F3" s="3" t="inlineStr">
        <is>
          <t>24CS301.</t>
        </is>
      </c>
      <c r="G3" s="3" t="inlineStr">
        <is>
          <t>24CS303.</t>
        </is>
      </c>
      <c r="H3" s="3" t="inlineStr">
        <is>
          <t>24HS301.</t>
        </is>
      </c>
      <c r="I3" s="3" t="inlineStr">
        <is>
          <t>24IT301.</t>
        </is>
      </c>
    </row>
    <row r="4" ht="20.1" customHeight="1">
      <c r="A4" s="4" t="n"/>
      <c r="B4" s="4" t="n"/>
      <c r="C4" s="5" t="inlineStr">
        <is>
          <t>SANTHOSH  P M</t>
        </is>
      </c>
      <c r="D4" s="4" t="n">
        <v>255902</v>
      </c>
      <c r="E4" s="6" t="n">
        <v>12</v>
      </c>
      <c r="F4" s="7" t="n">
        <v>50</v>
      </c>
      <c r="G4" s="6" t="n">
        <v>11</v>
      </c>
      <c r="H4" s="7" t="n">
        <v>50</v>
      </c>
      <c r="I4" s="6" t="n">
        <v>22</v>
      </c>
    </row>
    <row r="5" ht="20.1" customHeight="1">
      <c r="A5" s="4" t="n"/>
      <c r="B5" s="4" t="inlineStr">
        <is>
          <t>-</t>
        </is>
      </c>
      <c r="C5" s="5" t="inlineStr">
        <is>
          <t>THILAK RAJ  S</t>
        </is>
      </c>
      <c r="D5" s="4" t="n">
        <v>255903</v>
      </c>
      <c r="E5" s="6" t="n">
        <v>0</v>
      </c>
      <c r="F5" s="8" t="inlineStr">
        <is>
          <t>AA</t>
        </is>
      </c>
      <c r="G5" s="6" t="n">
        <v>0</v>
      </c>
      <c r="H5" s="6" t="n">
        <v>30</v>
      </c>
      <c r="I5" s="6" t="n">
        <v>0</v>
      </c>
    </row>
    <row r="6" ht="20.1" customHeight="1">
      <c r="A6" s="4" t="n">
        <v>1</v>
      </c>
      <c r="B6" s="4" t="n">
        <v>910624105041</v>
      </c>
      <c r="C6" s="5" t="inlineStr">
        <is>
          <t>MAHIMA NATARAJAN</t>
        </is>
      </c>
      <c r="D6" s="4" t="n">
        <v>245006</v>
      </c>
      <c r="E6" s="7" t="n">
        <v>90</v>
      </c>
      <c r="F6" s="7" t="n">
        <v>99</v>
      </c>
      <c r="G6" s="7" t="n">
        <v>94</v>
      </c>
      <c r="H6" s="7" t="n">
        <v>94</v>
      </c>
      <c r="I6" s="7" t="n">
        <v>94</v>
      </c>
    </row>
    <row r="7" ht="20.1" customHeight="1">
      <c r="A7" s="4" t="n">
        <v>2</v>
      </c>
      <c r="B7" s="4" t="n">
        <v>910624105033</v>
      </c>
      <c r="C7" s="5" t="inlineStr">
        <is>
          <t>KASAMUTHU  L</t>
        </is>
      </c>
      <c r="D7" s="4" t="n">
        <v>245007</v>
      </c>
      <c r="E7" s="6" t="n">
        <v>20</v>
      </c>
      <c r="F7" s="6" t="n">
        <v>40</v>
      </c>
      <c r="G7" s="7" t="n">
        <v>52</v>
      </c>
      <c r="H7" s="7" t="n">
        <v>68</v>
      </c>
      <c r="I7" s="7" t="n">
        <v>58</v>
      </c>
    </row>
    <row r="8" ht="20.1" customHeight="1">
      <c r="A8" s="4" t="n">
        <v>3</v>
      </c>
      <c r="B8" s="4" t="n">
        <v>910624105022</v>
      </c>
      <c r="C8" s="5" t="inlineStr">
        <is>
          <t>GOWTHAM  R</t>
        </is>
      </c>
      <c r="D8" s="4" t="n">
        <v>245008</v>
      </c>
      <c r="E8" s="6" t="n">
        <v>16</v>
      </c>
      <c r="F8" s="6" t="n">
        <v>16</v>
      </c>
      <c r="G8" s="6" t="n">
        <v>29</v>
      </c>
      <c r="H8" s="7" t="n">
        <v>50</v>
      </c>
      <c r="I8" s="7" t="n">
        <v>50</v>
      </c>
    </row>
    <row r="9" ht="20.1" customHeight="1">
      <c r="A9" s="4" t="n">
        <v>4</v>
      </c>
      <c r="B9" s="4" t="n">
        <v>910624105030</v>
      </c>
      <c r="C9" s="5" t="inlineStr">
        <is>
          <t>JEGAAN  V N</t>
        </is>
      </c>
      <c r="D9" s="4" t="n">
        <v>245010</v>
      </c>
      <c r="E9" s="7" t="n">
        <v>66</v>
      </c>
      <c r="F9" s="8" t="inlineStr">
        <is>
          <t>AA</t>
        </is>
      </c>
      <c r="G9" s="6" t="n">
        <v>49</v>
      </c>
      <c r="H9" s="8" t="inlineStr">
        <is>
          <t>AA</t>
        </is>
      </c>
      <c r="I9" s="8" t="inlineStr">
        <is>
          <t>AA</t>
        </is>
      </c>
    </row>
    <row r="10" ht="20.1" customHeight="1">
      <c r="A10" s="4" t="n">
        <v>5</v>
      </c>
      <c r="B10" s="4" t="n">
        <v>910624105005</v>
      </c>
      <c r="C10" s="5" t="inlineStr">
        <is>
          <t>ARUN  R G</t>
        </is>
      </c>
      <c r="D10" s="4" t="n">
        <v>245011</v>
      </c>
      <c r="E10" s="8" t="inlineStr">
        <is>
          <t>AA</t>
        </is>
      </c>
      <c r="F10" s="7" t="n">
        <v>99</v>
      </c>
      <c r="G10" s="7" t="n">
        <v>88</v>
      </c>
      <c r="H10" s="7" t="n">
        <v>82</v>
      </c>
      <c r="I10" s="7" t="n">
        <v>88</v>
      </c>
    </row>
    <row r="11" ht="20.1" customHeight="1">
      <c r="A11" s="4" t="n">
        <v>6</v>
      </c>
      <c r="B11" s="4" t="n">
        <v>910624105032</v>
      </c>
      <c r="C11" s="5" t="inlineStr">
        <is>
          <t>KARTHIKEYAN  S</t>
        </is>
      </c>
      <c r="D11" s="4" t="n">
        <v>245013</v>
      </c>
      <c r="E11" s="7" t="n">
        <v>50</v>
      </c>
      <c r="F11" s="7" t="n">
        <v>92</v>
      </c>
      <c r="G11" s="7" t="n">
        <v>71</v>
      </c>
      <c r="H11" s="7" t="n">
        <v>70</v>
      </c>
      <c r="I11" s="8" t="inlineStr">
        <is>
          <t>AA</t>
        </is>
      </c>
    </row>
    <row r="12" ht="20.1" customHeight="1">
      <c r="A12" s="4" t="n">
        <v>7</v>
      </c>
      <c r="B12" s="4" t="n">
        <v>910624105038</v>
      </c>
      <c r="C12" s="5" t="inlineStr">
        <is>
          <t>KISHORE KUMAR  A K</t>
        </is>
      </c>
      <c r="D12" s="4" t="n">
        <v>245014</v>
      </c>
      <c r="E12" s="7" t="n">
        <v>61</v>
      </c>
      <c r="F12" s="7" t="n">
        <v>73</v>
      </c>
      <c r="G12" s="7" t="n">
        <v>78</v>
      </c>
      <c r="H12" s="7" t="n">
        <v>83</v>
      </c>
      <c r="I12" s="7" t="n">
        <v>62</v>
      </c>
    </row>
    <row r="13" ht="20.1" customHeight="1">
      <c r="A13" s="4" t="n">
        <v>8</v>
      </c>
      <c r="B13" s="4" t="n">
        <v>910624105037</v>
      </c>
      <c r="C13" s="5" t="inlineStr">
        <is>
          <t>KISHORE  C</t>
        </is>
      </c>
      <c r="D13" s="4" t="n">
        <v>245018</v>
      </c>
      <c r="E13" s="7" t="n">
        <v>66</v>
      </c>
      <c r="F13" s="7" t="n">
        <v>99</v>
      </c>
      <c r="G13" s="7" t="n">
        <v>65</v>
      </c>
      <c r="H13" s="7" t="n">
        <v>76</v>
      </c>
      <c r="I13" s="7" t="n">
        <v>84</v>
      </c>
    </row>
    <row r="14" ht="20.1" customHeight="1">
      <c r="A14" s="4" t="n">
        <v>9</v>
      </c>
      <c r="B14" s="4" t="n">
        <v>910624105013</v>
      </c>
      <c r="C14" s="5" t="inlineStr">
        <is>
          <t>DHANUSH  R J</t>
        </is>
      </c>
      <c r="D14" s="4" t="n">
        <v>245019</v>
      </c>
      <c r="E14" s="7" t="n">
        <v>83</v>
      </c>
      <c r="F14" s="7" t="n">
        <v>90</v>
      </c>
      <c r="G14" s="7" t="n">
        <v>86</v>
      </c>
      <c r="H14" s="7" t="n">
        <v>80</v>
      </c>
      <c r="I14" s="7" t="n">
        <v>84</v>
      </c>
    </row>
    <row r="15" ht="20.1" customHeight="1">
      <c r="A15" s="4" t="n">
        <v>10</v>
      </c>
      <c r="B15" s="4" t="n">
        <v>910624105015</v>
      </c>
      <c r="C15" s="5" t="inlineStr">
        <is>
          <t>DHARSHINI SRI  R</t>
        </is>
      </c>
      <c r="D15" s="4" t="n">
        <v>245020</v>
      </c>
      <c r="E15" s="7" t="n">
        <v>53</v>
      </c>
      <c r="F15" s="7" t="n">
        <v>84</v>
      </c>
      <c r="G15" s="7" t="n">
        <v>97</v>
      </c>
      <c r="H15" s="7" t="n">
        <v>84</v>
      </c>
      <c r="I15" s="7" t="n">
        <v>76</v>
      </c>
    </row>
    <row r="16" ht="20.1" customHeight="1">
      <c r="A16" s="4" t="n">
        <v>11</v>
      </c>
      <c r="B16" s="4" t="n">
        <v>910624105029</v>
      </c>
      <c r="C16" s="5" t="inlineStr">
        <is>
          <t>JAI GANESH  B</t>
        </is>
      </c>
      <c r="D16" s="4" t="n">
        <v>245021</v>
      </c>
      <c r="E16" s="7" t="n">
        <v>95</v>
      </c>
      <c r="F16" s="7" t="n">
        <v>94</v>
      </c>
      <c r="G16" s="7" t="n">
        <v>96</v>
      </c>
      <c r="H16" s="7" t="n">
        <v>84</v>
      </c>
      <c r="I16" s="7" t="n">
        <v>92</v>
      </c>
    </row>
    <row r="17" ht="20.1" customHeight="1">
      <c r="A17" s="4" t="n">
        <v>12</v>
      </c>
      <c r="B17" s="4" t="n">
        <v>910624105002</v>
      </c>
      <c r="C17" s="5" t="inlineStr">
        <is>
          <t>AKSHAYA  D</t>
        </is>
      </c>
      <c r="D17" s="4" t="n">
        <v>245022</v>
      </c>
      <c r="E17" s="7" t="n">
        <v>60</v>
      </c>
      <c r="F17" s="7" t="n">
        <v>50</v>
      </c>
      <c r="G17" s="6" t="n">
        <v>41</v>
      </c>
      <c r="H17" s="7" t="n">
        <v>80</v>
      </c>
      <c r="I17" s="7" t="n">
        <v>50</v>
      </c>
    </row>
    <row r="18" ht="20.1" customHeight="1">
      <c r="A18" s="4" t="n">
        <v>13</v>
      </c>
      <c r="B18" s="4" t="n">
        <v>910624105007</v>
      </c>
      <c r="C18" s="5" t="inlineStr">
        <is>
          <t>BALAJI  R J</t>
        </is>
      </c>
      <c r="D18" s="4" t="n">
        <v>245027</v>
      </c>
      <c r="E18" s="7" t="n">
        <v>63</v>
      </c>
      <c r="F18" s="7" t="n">
        <v>94</v>
      </c>
      <c r="G18" s="6" t="n">
        <v>44</v>
      </c>
      <c r="H18" s="7" t="n">
        <v>68</v>
      </c>
      <c r="I18" s="7" t="n">
        <v>68</v>
      </c>
    </row>
    <row r="19" ht="20.1" customHeight="1">
      <c r="A19" s="4" t="n">
        <v>14</v>
      </c>
      <c r="B19" s="4" t="n">
        <v>910624105006</v>
      </c>
      <c r="C19" s="5" t="inlineStr">
        <is>
          <t>AZHAGUMUTHU  K</t>
        </is>
      </c>
      <c r="D19" s="4" t="n">
        <v>245028</v>
      </c>
      <c r="E19" s="7" t="n">
        <v>71</v>
      </c>
      <c r="F19" s="7" t="n">
        <v>82</v>
      </c>
      <c r="G19" s="7" t="n">
        <v>77</v>
      </c>
      <c r="H19" s="7" t="n">
        <v>80</v>
      </c>
      <c r="I19" s="7" t="n">
        <v>89</v>
      </c>
    </row>
    <row r="20" ht="20.1" customHeight="1">
      <c r="A20" s="4" t="n">
        <v>15</v>
      </c>
      <c r="B20" s="4" t="n">
        <v>910624105020</v>
      </c>
      <c r="C20" s="5" t="inlineStr">
        <is>
          <t>GOGULAKRISHNAN  S</t>
        </is>
      </c>
      <c r="D20" s="4" t="n">
        <v>245031</v>
      </c>
      <c r="E20" s="7" t="n">
        <v>77</v>
      </c>
      <c r="F20" s="7" t="n">
        <v>92</v>
      </c>
      <c r="G20" s="7" t="n">
        <v>62</v>
      </c>
      <c r="H20" s="7" t="n">
        <v>80</v>
      </c>
      <c r="I20" s="7" t="n">
        <v>72</v>
      </c>
    </row>
    <row r="21" ht="20.1" customHeight="1">
      <c r="A21" s="4" t="n">
        <v>16</v>
      </c>
      <c r="B21" s="4" t="n">
        <v>910624105044</v>
      </c>
      <c r="C21" s="5" t="inlineStr">
        <is>
          <t>MURTHUZA ALI  A</t>
        </is>
      </c>
      <c r="D21" s="4" t="n">
        <v>245032</v>
      </c>
      <c r="E21" s="6" t="n">
        <v>14</v>
      </c>
      <c r="F21" s="7" t="n">
        <v>50</v>
      </c>
      <c r="G21" s="6" t="n">
        <v>20</v>
      </c>
      <c r="H21" s="7" t="n">
        <v>50</v>
      </c>
      <c r="I21" s="7" t="n">
        <v>50</v>
      </c>
    </row>
    <row r="22" ht="20.1" customHeight="1">
      <c r="A22" s="4" t="n">
        <v>17</v>
      </c>
      <c r="B22" s="4" t="n">
        <v>910624105011</v>
      </c>
      <c r="C22" s="5" t="inlineStr">
        <is>
          <t>DEVAKUMAR  R B</t>
        </is>
      </c>
      <c r="D22" s="4" t="n">
        <v>245033</v>
      </c>
      <c r="E22" s="7" t="n">
        <v>85</v>
      </c>
      <c r="F22" s="7" t="n">
        <v>88</v>
      </c>
      <c r="G22" s="7" t="n">
        <v>60</v>
      </c>
      <c r="H22" s="7" t="n">
        <v>86</v>
      </c>
      <c r="I22" s="7" t="n">
        <v>90</v>
      </c>
    </row>
    <row r="23" ht="20.1" customHeight="1">
      <c r="A23" s="4" t="n">
        <v>18</v>
      </c>
      <c r="B23" s="4" t="n">
        <v>910624105017</v>
      </c>
      <c r="C23" s="5" t="inlineStr">
        <is>
          <t>DIVYA  S</t>
        </is>
      </c>
      <c r="D23" s="4" t="n">
        <v>245034</v>
      </c>
      <c r="E23" s="8" t="inlineStr">
        <is>
          <t>AA</t>
        </is>
      </c>
      <c r="F23" s="6" t="n">
        <v>26</v>
      </c>
      <c r="G23" s="6" t="n">
        <v>12</v>
      </c>
      <c r="H23" s="7" t="n">
        <v>54</v>
      </c>
      <c r="I23" s="6" t="n">
        <v>8</v>
      </c>
    </row>
    <row r="24" ht="20.1" customHeight="1">
      <c r="A24" s="4" t="n">
        <v>19</v>
      </c>
      <c r="B24" s="4" t="n">
        <v>910624105018</v>
      </c>
      <c r="C24" s="5" t="inlineStr">
        <is>
          <t>ELAMARAN  M</t>
        </is>
      </c>
      <c r="D24" s="4" t="n">
        <v>245036</v>
      </c>
      <c r="E24" s="6" t="n">
        <v>9</v>
      </c>
      <c r="F24" s="7" t="n">
        <v>74</v>
      </c>
      <c r="G24" s="8" t="inlineStr">
        <is>
          <t>AA</t>
        </is>
      </c>
      <c r="H24" s="7" t="n">
        <v>60</v>
      </c>
      <c r="I24" s="7" t="n">
        <v>60</v>
      </c>
    </row>
    <row r="25" ht="20.1" customHeight="1">
      <c r="A25" s="4" t="n">
        <v>20</v>
      </c>
      <c r="B25" s="4" t="n">
        <v>910624105001</v>
      </c>
      <c r="C25" s="5" t="inlineStr">
        <is>
          <t>AHILESH  D</t>
        </is>
      </c>
      <c r="D25" s="4" t="n">
        <v>245038</v>
      </c>
      <c r="E25" s="7" t="n">
        <v>58</v>
      </c>
      <c r="F25" s="7" t="n">
        <v>72</v>
      </c>
      <c r="G25" s="7" t="n">
        <v>75</v>
      </c>
      <c r="H25" s="7" t="n">
        <v>70</v>
      </c>
      <c r="I25" s="7" t="n">
        <v>50</v>
      </c>
    </row>
    <row r="26" ht="20.1" customHeight="1">
      <c r="A26" s="4" t="n">
        <v>21</v>
      </c>
      <c r="B26" s="4" t="n">
        <v>910624105023</v>
      </c>
      <c r="C26" s="5" t="inlineStr">
        <is>
          <t>HARINI  P</t>
        </is>
      </c>
      <c r="D26" s="4" t="n">
        <v>245102</v>
      </c>
      <c r="E26" s="7" t="n">
        <v>58</v>
      </c>
      <c r="F26" s="7" t="n">
        <v>95</v>
      </c>
      <c r="G26" s="7" t="n">
        <v>66</v>
      </c>
      <c r="H26" s="7" t="n">
        <v>80</v>
      </c>
      <c r="I26" s="7" t="n">
        <v>83</v>
      </c>
    </row>
    <row r="27" ht="20.1" customHeight="1">
      <c r="A27" s="4" t="n">
        <v>22</v>
      </c>
      <c r="B27" s="4" t="n">
        <v>910624105039</v>
      </c>
      <c r="C27" s="5" t="inlineStr">
        <is>
          <t>MADHUSHYAM  C V</t>
        </is>
      </c>
      <c r="D27" s="4" t="n">
        <v>245104</v>
      </c>
      <c r="E27" s="7" t="n">
        <v>54</v>
      </c>
      <c r="F27" s="7" t="n">
        <v>50</v>
      </c>
      <c r="G27" s="7" t="n">
        <v>76</v>
      </c>
      <c r="H27" s="7" t="n">
        <v>52</v>
      </c>
      <c r="I27" s="7" t="n">
        <v>50</v>
      </c>
    </row>
    <row r="28" ht="20.1" customHeight="1">
      <c r="A28" s="4" t="n">
        <v>23</v>
      </c>
      <c r="B28" s="4" t="n">
        <v>910624105027</v>
      </c>
      <c r="C28" s="5" t="inlineStr">
        <is>
          <t>HEMA  T K</t>
        </is>
      </c>
      <c r="D28" s="4" t="n">
        <v>245108</v>
      </c>
      <c r="E28" s="7" t="n">
        <v>68</v>
      </c>
      <c r="F28" s="7" t="n">
        <v>89</v>
      </c>
      <c r="G28" s="7" t="n">
        <v>62</v>
      </c>
      <c r="H28" s="7" t="n">
        <v>64</v>
      </c>
      <c r="I28" s="7" t="n">
        <v>72</v>
      </c>
    </row>
    <row r="29" ht="20.1" customHeight="1">
      <c r="A29" s="4" t="n">
        <v>24</v>
      </c>
      <c r="B29" s="4" t="n">
        <v>910624105024</v>
      </c>
      <c r="C29" s="5" t="inlineStr">
        <is>
          <t>HARISH RAJA  K K</t>
        </is>
      </c>
      <c r="D29" s="4" t="n">
        <v>245110</v>
      </c>
      <c r="E29" s="7" t="n">
        <v>50</v>
      </c>
      <c r="F29" s="7" t="n">
        <v>74</v>
      </c>
      <c r="G29" s="6" t="n">
        <v>24</v>
      </c>
      <c r="H29" s="7" t="n">
        <v>58</v>
      </c>
      <c r="I29" s="7" t="n">
        <v>56</v>
      </c>
    </row>
    <row r="30" ht="20.1" customHeight="1">
      <c r="A30" s="4" t="n">
        <v>25</v>
      </c>
      <c r="B30" s="4" t="n">
        <v>910624105028</v>
      </c>
      <c r="C30" s="5" t="inlineStr">
        <is>
          <t>JAGAPRAVIN  K R D</t>
        </is>
      </c>
      <c r="D30" s="4" t="n">
        <v>245115</v>
      </c>
      <c r="E30" s="6" t="n">
        <v>32</v>
      </c>
      <c r="F30" s="7" t="n">
        <v>86</v>
      </c>
      <c r="G30" s="6" t="n">
        <v>18</v>
      </c>
      <c r="H30" s="7" t="n">
        <v>60</v>
      </c>
      <c r="I30" s="7" t="n">
        <v>56</v>
      </c>
    </row>
    <row r="31" ht="20.1" customHeight="1">
      <c r="A31" s="4" t="n">
        <v>26</v>
      </c>
      <c r="B31" s="4" t="n">
        <v>910624105036</v>
      </c>
      <c r="C31" s="5" t="inlineStr">
        <is>
          <t>KIRUTHIGA  G J</t>
        </is>
      </c>
      <c r="D31" s="4" t="n">
        <v>245116</v>
      </c>
      <c r="E31" s="7" t="n">
        <v>95</v>
      </c>
      <c r="F31" s="7" t="n">
        <v>98</v>
      </c>
      <c r="G31" s="7" t="n">
        <v>88</v>
      </c>
      <c r="H31" s="7" t="n">
        <v>82</v>
      </c>
      <c r="I31" s="7" t="n">
        <v>80</v>
      </c>
    </row>
    <row r="32" ht="20.1" customHeight="1">
      <c r="A32" s="4" t="n">
        <v>27</v>
      </c>
      <c r="B32" s="4" t="n">
        <v>910624105004</v>
      </c>
      <c r="C32" s="5" t="inlineStr">
        <is>
          <t>AMRITA  G S</t>
        </is>
      </c>
      <c r="D32" s="4" t="n">
        <v>245301</v>
      </c>
      <c r="E32" s="7" t="n">
        <v>75</v>
      </c>
      <c r="F32" s="7" t="n">
        <v>99</v>
      </c>
      <c r="G32" s="7" t="n">
        <v>81</v>
      </c>
      <c r="H32" s="7" t="n">
        <v>69</v>
      </c>
      <c r="I32" s="7" t="n">
        <v>80</v>
      </c>
    </row>
    <row r="33" ht="20.1" customHeight="1">
      <c r="A33" s="4" t="n">
        <v>28</v>
      </c>
      <c r="B33" s="4" t="n">
        <v>910624105014</v>
      </c>
      <c r="C33" s="5" t="inlineStr">
        <is>
          <t>DHARSHINI SHREE  K</t>
        </is>
      </c>
      <c r="D33" s="4" t="n">
        <v>245302</v>
      </c>
      <c r="E33" s="7" t="n">
        <v>74</v>
      </c>
      <c r="F33" s="7" t="n">
        <v>74</v>
      </c>
      <c r="G33" s="6" t="n">
        <v>17</v>
      </c>
      <c r="H33" s="7" t="n">
        <v>64</v>
      </c>
      <c r="I33" s="7" t="n">
        <v>73</v>
      </c>
    </row>
    <row r="34" ht="20.1" customHeight="1">
      <c r="A34" s="4" t="n">
        <v>29</v>
      </c>
      <c r="B34" s="4" t="n">
        <v>910624105045</v>
      </c>
      <c r="C34" s="5" t="inlineStr">
        <is>
          <t>NITHISH RAJA  M</t>
        </is>
      </c>
      <c r="D34" s="4" t="n">
        <v>245306</v>
      </c>
      <c r="E34" s="7" t="n">
        <v>54</v>
      </c>
      <c r="F34" s="7" t="n">
        <v>86</v>
      </c>
      <c r="G34" s="6" t="n">
        <v>12</v>
      </c>
      <c r="H34" s="7" t="n">
        <v>50</v>
      </c>
      <c r="I34" s="7" t="n">
        <v>52</v>
      </c>
    </row>
    <row r="35" ht="20.1" customHeight="1">
      <c r="A35" s="4" t="n">
        <v>30</v>
      </c>
      <c r="B35" s="4" t="n">
        <v>910624105009</v>
      </c>
      <c r="C35" s="5" t="inlineStr">
        <is>
          <t>BHUVANESH SRI  V</t>
        </is>
      </c>
      <c r="D35" s="4" t="n">
        <v>245307</v>
      </c>
      <c r="E35" s="7" t="n">
        <v>54</v>
      </c>
      <c r="F35" s="7" t="n">
        <v>66</v>
      </c>
      <c r="G35" s="6" t="n">
        <v>41</v>
      </c>
      <c r="H35" s="7" t="n">
        <v>60</v>
      </c>
      <c r="I35" s="7" t="n">
        <v>86</v>
      </c>
    </row>
    <row r="36" ht="20.1" customHeight="1">
      <c r="A36" s="4" t="n">
        <v>31</v>
      </c>
      <c r="B36" s="4" t="n">
        <v>910624105003</v>
      </c>
      <c r="C36" s="5" t="inlineStr">
        <is>
          <t>AMIRTHAVARSHINI  M</t>
        </is>
      </c>
      <c r="D36" s="4" t="n">
        <v>245308</v>
      </c>
      <c r="E36" s="7" t="n">
        <v>59</v>
      </c>
      <c r="F36" s="7" t="n">
        <v>72</v>
      </c>
      <c r="G36" s="7" t="n">
        <v>53</v>
      </c>
      <c r="H36" s="7" t="n">
        <v>60</v>
      </c>
      <c r="I36" s="7" t="n">
        <v>51</v>
      </c>
    </row>
    <row r="37" ht="20.1" customHeight="1">
      <c r="A37" s="4" t="n">
        <v>32</v>
      </c>
      <c r="B37" s="4" t="n">
        <v>910624105012</v>
      </c>
      <c r="C37" s="5" t="inlineStr">
        <is>
          <t>DEVANANTH  R</t>
        </is>
      </c>
      <c r="D37" s="4" t="n">
        <v>245309</v>
      </c>
      <c r="E37" s="7" t="n">
        <v>50</v>
      </c>
      <c r="F37" s="6" t="n">
        <v>22</v>
      </c>
      <c r="G37" s="6" t="n">
        <v>10</v>
      </c>
      <c r="H37" s="6" t="n">
        <v>30</v>
      </c>
      <c r="I37" s="7" t="n">
        <v>50</v>
      </c>
    </row>
    <row r="38" ht="20.1" customHeight="1">
      <c r="A38" s="4" t="n">
        <v>33</v>
      </c>
      <c r="B38" s="4" t="n">
        <v>910624105010</v>
      </c>
      <c r="C38" s="5" t="inlineStr">
        <is>
          <t>CHARUMATHI  R</t>
        </is>
      </c>
      <c r="D38" s="4" t="n">
        <v>245313</v>
      </c>
      <c r="E38" s="7" t="n">
        <v>58</v>
      </c>
      <c r="F38" s="7" t="n">
        <v>68</v>
      </c>
      <c r="G38" s="7" t="n">
        <v>62</v>
      </c>
      <c r="H38" s="7" t="n">
        <v>62</v>
      </c>
      <c r="I38" s="7" t="n">
        <v>50</v>
      </c>
    </row>
    <row r="39" ht="20.1" customHeight="1">
      <c r="A39" s="4" t="n">
        <v>34</v>
      </c>
      <c r="B39" s="4" t="n">
        <v>910624105034</v>
      </c>
      <c r="C39" s="5" t="inlineStr">
        <is>
          <t>KATHIRVEL  S</t>
        </is>
      </c>
      <c r="D39" s="4" t="n">
        <v>245316</v>
      </c>
      <c r="E39" s="7" t="n">
        <v>56</v>
      </c>
      <c r="F39" s="7" t="n">
        <v>62</v>
      </c>
      <c r="G39" s="6" t="n">
        <v>34</v>
      </c>
      <c r="H39" s="7" t="n">
        <v>66</v>
      </c>
      <c r="I39" s="7" t="n">
        <v>55</v>
      </c>
    </row>
    <row r="40" ht="20.1" customHeight="1">
      <c r="A40" s="4" t="n">
        <v>35</v>
      </c>
      <c r="B40" s="4" t="n">
        <v>910624105016</v>
      </c>
      <c r="C40" s="5" t="inlineStr">
        <is>
          <t>DHEEKSHA  S</t>
        </is>
      </c>
      <c r="D40" s="4" t="n">
        <v>245317</v>
      </c>
      <c r="E40" s="6" t="n">
        <v>32</v>
      </c>
      <c r="F40" s="6" t="n">
        <v>25</v>
      </c>
      <c r="G40" s="6" t="n">
        <v>34</v>
      </c>
      <c r="H40" s="7" t="n">
        <v>50</v>
      </c>
      <c r="I40" s="7" t="n">
        <v>50</v>
      </c>
    </row>
    <row r="41" ht="20.1" customHeight="1">
      <c r="A41" s="4" t="n">
        <v>36</v>
      </c>
      <c r="B41" s="4" t="n">
        <v>910624105035</v>
      </c>
      <c r="C41" s="5" t="inlineStr">
        <is>
          <t>KEERTHI PRIYA  M</t>
        </is>
      </c>
      <c r="D41" s="4" t="n">
        <v>245318</v>
      </c>
      <c r="E41" s="6" t="n">
        <v>20</v>
      </c>
      <c r="F41" s="7" t="n">
        <v>60</v>
      </c>
      <c r="G41" s="6" t="n">
        <v>20</v>
      </c>
      <c r="H41" s="7" t="n">
        <v>54</v>
      </c>
      <c r="I41" s="6" t="n">
        <v>32</v>
      </c>
    </row>
    <row r="42" ht="20.1" customHeight="1">
      <c r="A42" s="4" t="n">
        <v>37</v>
      </c>
      <c r="B42" s="4" t="n">
        <v>910624105043</v>
      </c>
      <c r="C42" s="5" t="inlineStr">
        <is>
          <t>MUKESH  K</t>
        </is>
      </c>
      <c r="D42" s="4" t="n">
        <v>245319</v>
      </c>
      <c r="E42" s="7" t="n">
        <v>50</v>
      </c>
      <c r="F42" s="6" t="n">
        <v>24</v>
      </c>
      <c r="G42" s="6" t="n">
        <v>9</v>
      </c>
      <c r="H42" s="7" t="n">
        <v>54</v>
      </c>
      <c r="I42" s="7" t="n">
        <v>60</v>
      </c>
    </row>
    <row r="43" ht="20.1" customHeight="1">
      <c r="A43" s="4" t="n">
        <v>38</v>
      </c>
      <c r="B43" s="4" t="n">
        <v>910624105042</v>
      </c>
      <c r="C43" s="5" t="inlineStr">
        <is>
          <t>MANGAIYARKARASI  R</t>
        </is>
      </c>
      <c r="D43" s="4" t="n">
        <v>245321</v>
      </c>
      <c r="E43" s="6" t="n">
        <v>41</v>
      </c>
      <c r="F43" s="7" t="n">
        <v>60</v>
      </c>
      <c r="G43" s="6" t="n">
        <v>25</v>
      </c>
      <c r="H43" s="7" t="n">
        <v>60</v>
      </c>
      <c r="I43" s="7" t="n">
        <v>71</v>
      </c>
    </row>
    <row r="44" ht="20.1" customHeight="1">
      <c r="A44" s="4" t="n">
        <v>39</v>
      </c>
      <c r="B44" s="4" t="n">
        <v>910624105019</v>
      </c>
      <c r="C44" s="5" t="inlineStr">
        <is>
          <t>GAUTHAM BALA  P</t>
        </is>
      </c>
      <c r="D44" s="4" t="n">
        <v>245324</v>
      </c>
      <c r="E44" s="7" t="n">
        <v>79</v>
      </c>
      <c r="F44" s="7" t="n">
        <v>96</v>
      </c>
      <c r="G44" s="7" t="n">
        <v>64</v>
      </c>
      <c r="H44" s="7" t="n">
        <v>62</v>
      </c>
      <c r="I44" s="7" t="n">
        <v>70</v>
      </c>
    </row>
    <row r="45" ht="20.1" customHeight="1">
      <c r="A45" s="4" t="n">
        <v>40</v>
      </c>
      <c r="B45" s="4" t="n">
        <v>910624105025</v>
      </c>
      <c r="C45" s="5" t="inlineStr">
        <is>
          <t>HARITHA  R</t>
        </is>
      </c>
      <c r="D45" s="4" t="n">
        <v>245326</v>
      </c>
      <c r="E45" s="7" t="n">
        <v>62</v>
      </c>
      <c r="F45" s="7" t="n">
        <v>84</v>
      </c>
      <c r="G45" s="6" t="n">
        <v>31</v>
      </c>
      <c r="H45" s="7" t="n">
        <v>74</v>
      </c>
      <c r="I45" s="7" t="n">
        <v>88</v>
      </c>
    </row>
    <row r="46" ht="20.1" customHeight="1">
      <c r="A46" s="4" t="n">
        <v>41</v>
      </c>
      <c r="B46" s="4" t="n">
        <v>910624105026</v>
      </c>
      <c r="C46" s="5" t="inlineStr">
        <is>
          <t>HEMA PRIYA  M</t>
        </is>
      </c>
      <c r="D46" s="4" t="n">
        <v>245328</v>
      </c>
      <c r="E46" s="7" t="n">
        <v>65</v>
      </c>
      <c r="F46" s="7" t="n">
        <v>90</v>
      </c>
      <c r="G46" s="6" t="n">
        <v>32</v>
      </c>
      <c r="H46" s="7" t="n">
        <v>80</v>
      </c>
      <c r="I46" s="7" t="n">
        <v>80</v>
      </c>
    </row>
    <row r="47" ht="20.1" customHeight="1">
      <c r="A47" s="4" t="n">
        <v>42</v>
      </c>
      <c r="B47" s="4" t="n">
        <v>910624105008</v>
      </c>
      <c r="C47" s="5" t="inlineStr">
        <is>
          <t>BALAVISAKAN  M</t>
        </is>
      </c>
      <c r="D47" s="4" t="n">
        <v>245330</v>
      </c>
      <c r="E47" s="7" t="n">
        <v>87</v>
      </c>
      <c r="F47" s="7" t="n">
        <v>98</v>
      </c>
      <c r="G47" s="7" t="n">
        <v>81</v>
      </c>
      <c r="H47" s="7" t="n">
        <v>81</v>
      </c>
      <c r="I47" s="7" t="n">
        <v>91</v>
      </c>
    </row>
    <row r="48" ht="20.1" customHeight="1">
      <c r="A48" s="4" t="n">
        <v>43</v>
      </c>
      <c r="B48" s="4" t="n">
        <v>910624105021</v>
      </c>
      <c r="C48" s="5" t="inlineStr">
        <is>
          <t>GOPIKASREE  K</t>
        </is>
      </c>
      <c r="D48" s="4" t="n">
        <v>245331</v>
      </c>
      <c r="E48" s="7" t="n">
        <v>53</v>
      </c>
      <c r="F48" s="7" t="n">
        <v>70</v>
      </c>
      <c r="G48" s="6" t="n">
        <v>27</v>
      </c>
      <c r="H48" s="7" t="n">
        <v>76</v>
      </c>
      <c r="I48" s="7" t="n">
        <v>52</v>
      </c>
    </row>
    <row r="49" ht="20.1" customHeight="1">
      <c r="A49" s="4" t="n">
        <v>44</v>
      </c>
      <c r="B49" s="4" t="n">
        <v>910624105040</v>
      </c>
      <c r="C49" s="5" t="inlineStr">
        <is>
          <t>MAHESH RAJ  P</t>
        </is>
      </c>
      <c r="D49" s="4" t="n">
        <v>245334</v>
      </c>
      <c r="E49" s="7" t="n">
        <v>50</v>
      </c>
      <c r="F49" s="7" t="n">
        <v>50</v>
      </c>
      <c r="G49" s="7" t="n">
        <v>67</v>
      </c>
      <c r="H49" s="7" t="n">
        <v>56</v>
      </c>
      <c r="I49" s="7" t="n">
        <v>68</v>
      </c>
    </row>
    <row r="50" ht="20.1" customHeight="1">
      <c r="A50" s="4" t="n">
        <v>45</v>
      </c>
      <c r="B50" s="4" t="n">
        <v>910624105031</v>
      </c>
      <c r="C50" s="5" t="inlineStr">
        <is>
          <t>KALAI SELVI  A</t>
        </is>
      </c>
      <c r="D50" s="4" t="n">
        <v>245335</v>
      </c>
      <c r="E50" s="7" t="n">
        <v>99</v>
      </c>
      <c r="F50" s="7" t="n">
        <v>90</v>
      </c>
      <c r="G50" s="7" t="n">
        <v>70</v>
      </c>
      <c r="H50" s="7" t="n">
        <v>84</v>
      </c>
      <c r="I50" s="7" t="n">
        <v>93</v>
      </c>
    </row>
    <row r="51" ht="20.1" customHeight="1">
      <c r="A51" s="4" t="n"/>
      <c r="B51" s="4" t="n"/>
      <c r="C51" s="5" t="inlineStr">
        <is>
          <t>appeared</t>
        </is>
      </c>
      <c r="D51" s="9" t="n"/>
      <c r="E51" s="7">
        <f>47-COUNTIF(E4:E50,"aa")</f>
        <v>45</v>
      </c>
      <c r="F51" s="7">
        <f>47-COUNTIF(F4:F50,"aa")</f>
        <v>45</v>
      </c>
      <c r="G51" s="7">
        <f>47-COUNTIF(G4:G50,"aa")</f>
        <v>46</v>
      </c>
      <c r="H51" s="7">
        <f>47-COUNTIF(H4:H50,"aa")</f>
        <v>46</v>
      </c>
      <c r="I51" s="7">
        <f>47-COUNTIF(I4:I50,"aa")</f>
        <v>45</v>
      </c>
    </row>
    <row r="52" ht="20.1" customHeight="1">
      <c r="A52" s="4" t="n"/>
      <c r="B52" s="4" t="n"/>
      <c r="C52" s="5" t="inlineStr">
        <is>
          <t>passed</t>
        </is>
      </c>
      <c r="D52" s="9" t="n"/>
      <c r="E52" s="7">
        <f>COUNTIF(E4:E50,"&gt;=50")</f>
        <v>35</v>
      </c>
      <c r="F52" s="7">
        <f>COUNTIF(F4:F50,"&gt;=50")</f>
        <v>39</v>
      </c>
      <c r="G52" s="7">
        <f>COUNTIF(G4:G50,"&gt;=50")</f>
        <v>24</v>
      </c>
      <c r="H52" s="7">
        <f>COUNTIF(H4:H50,"&gt;=50")</f>
        <v>44</v>
      </c>
      <c r="I52" s="7">
        <f>COUNTIF(I4:I50,"&gt;=50")</f>
        <v>41</v>
      </c>
    </row>
    <row r="53" ht="20.1" customHeight="1">
      <c r="A53" s="4" t="n"/>
      <c r="B53" s="4" t="n"/>
      <c r="C53" s="5" t="inlineStr">
        <is>
          <t>% passed</t>
        </is>
      </c>
      <c r="D53" s="9" t="n"/>
      <c r="E53" s="10">
        <f>E52/E51*100</f>
        <v>77.8</v>
      </c>
      <c r="F53" s="10">
        <f>F52/F51*100</f>
        <v>86.7</v>
      </c>
      <c r="G53" s="10">
        <f>G52/G51*100</f>
        <v>52.2</v>
      </c>
      <c r="H53" s="10">
        <f>H52/H51*100</f>
        <v>95.7</v>
      </c>
      <c r="I53" s="10">
        <f>I52/I51*100</f>
        <v>91.09999999999999</v>
      </c>
    </row>
    <row r="54" ht="20.1" customHeight="1">
      <c r="A54" s="4" t="n"/>
      <c r="B54" s="4" t="n"/>
      <c r="C54" s="5" t="inlineStr">
        <is>
          <t>below 50%</t>
        </is>
      </c>
      <c r="D54" s="9" t="n"/>
      <c r="E54" s="7">
        <f>COUNTIF(E4:E50,"&lt;50")</f>
        <v>10</v>
      </c>
      <c r="F54" s="7">
        <f>COUNTIF(F4:F50,"&lt;50")</f>
        <v>6</v>
      </c>
      <c r="G54" s="7">
        <f>COUNTIF(G4:G50,"&lt;50")</f>
        <v>22</v>
      </c>
      <c r="H54" s="7">
        <f>COUNTIF(H4:H50,"&lt;50")</f>
        <v>2</v>
      </c>
      <c r="I54" s="7">
        <f>COUNTIF(I4:I50,"&lt;50")</f>
        <v>4</v>
      </c>
    </row>
    <row r="55" ht="20.1" customHeight="1">
      <c r="A55" s="4" t="n"/>
      <c r="B55" s="4" t="n"/>
      <c r="C55" s="5" t="inlineStr">
        <is>
          <t>50%-60%</t>
        </is>
      </c>
      <c r="D55" s="9" t="n"/>
      <c r="E55" s="7">
        <f>COUNTIFS(E4:E50,"&gt;=50",E4:E50,"&lt;=60")</f>
        <v>16</v>
      </c>
      <c r="F55" s="7">
        <f>COUNTIFS(F4:F50,"&gt;=50",F4:F50,"&lt;=60")</f>
        <v>7</v>
      </c>
      <c r="G55" s="7">
        <f>COUNTIFS(G4:G50,"&gt;=50",G4:G50,"&lt;=60")</f>
        <v>3</v>
      </c>
      <c r="H55" s="7">
        <f>COUNTIFS(H4:H50,"&gt;=50",H4:H50,"&lt;=60")</f>
        <v>16</v>
      </c>
      <c r="I55" s="7">
        <f>COUNTIFS(I4:I50,"&gt;=50",I4:I50,"&lt;=60")</f>
        <v>17</v>
      </c>
    </row>
    <row r="56" ht="20.1" customHeight="1">
      <c r="A56" s="4" t="n"/>
      <c r="B56" s="4" t="n"/>
      <c r="C56" s="5" t="inlineStr">
        <is>
          <t>61%-70%</t>
        </is>
      </c>
      <c r="D56" s="9" t="n"/>
      <c r="E56" s="7">
        <f>COUNTIFS(E4:E50,"&gt;=61",E4:E50,"&lt;=70")</f>
        <v>7</v>
      </c>
      <c r="F56" s="7">
        <f>COUNTIFS(F4:F50,"&gt;=61",F4:F50,"&lt;=70")</f>
        <v>4</v>
      </c>
      <c r="G56" s="7">
        <f>COUNTIFS(G4:G50,"&gt;=61",G4:G50,"&lt;=70")</f>
        <v>8</v>
      </c>
      <c r="H56" s="7">
        <f>COUNTIFS(H4:H50,"&gt;=61",H4:H50,"&lt;=70")</f>
        <v>10</v>
      </c>
      <c r="I56" s="7">
        <f>COUNTIFS(I4:I50,"&gt;=61",I4:I50,"&lt;=70")</f>
        <v>4</v>
      </c>
    </row>
    <row r="57" ht="20.1" customHeight="1">
      <c r="A57" s="4" t="n"/>
      <c r="B57" s="4" t="n"/>
      <c r="C57" s="5" t="inlineStr">
        <is>
          <t>71%-80%</t>
        </is>
      </c>
      <c r="D57" s="9" t="n"/>
      <c r="E57" s="7">
        <f>COUNTIFS(E4:E50,"&gt;=71",E4:E50,"&lt;=80")</f>
        <v>5</v>
      </c>
      <c r="F57" s="7">
        <f>COUNTIFS(F4:F50,"&gt;=71",F4:F50,"&lt;=80")</f>
        <v>6</v>
      </c>
      <c r="G57" s="7">
        <f>COUNTIFS(G4:G50,"&gt;=71",G4:G50,"&lt;=80")</f>
        <v>5</v>
      </c>
      <c r="H57" s="7">
        <f>COUNTIFS(H4:H50,"&gt;=71",H4:H50,"&lt;=80")</f>
        <v>9</v>
      </c>
      <c r="I57" s="7">
        <f>COUNTIFS(I4:I50,"&gt;=71",I4:I50,"&lt;=80")</f>
        <v>8</v>
      </c>
    </row>
    <row r="58" ht="20.1" customHeight="1">
      <c r="A58" s="4" t="n"/>
      <c r="B58" s="4" t="n"/>
      <c r="C58" s="5" t="inlineStr">
        <is>
          <t>81%-90%</t>
        </is>
      </c>
      <c r="D58" s="9" t="n"/>
      <c r="E58" s="7">
        <f>COUNTIFS(E4:E50,"&gt;=81",E4:E50,"&lt;=90")</f>
        <v>4</v>
      </c>
      <c r="F58" s="7">
        <f>COUNTIFS(F4:F50,"&gt;=81",F4:F50,"&lt;=90")</f>
        <v>10</v>
      </c>
      <c r="G58" s="7">
        <f>COUNTIFS(G4:G50,"&gt;=81",G4:G50,"&lt;=90")</f>
        <v>5</v>
      </c>
      <c r="H58" s="7">
        <f>COUNTIFS(H4:H50,"&gt;=81",H4:H50,"&lt;=90")</f>
        <v>8</v>
      </c>
      <c r="I58" s="7">
        <f>COUNTIFS(I4:I50,"&gt;=81",I4:I50,"&lt;=90")</f>
        <v>8</v>
      </c>
    </row>
    <row r="59" ht="20.1" customHeight="1">
      <c r="A59" s="4" t="n"/>
      <c r="B59" s="4" t="n"/>
      <c r="C59" s="5" t="inlineStr">
        <is>
          <t>91%-100%</t>
        </is>
      </c>
      <c r="D59" s="9" t="n"/>
      <c r="E59" s="7">
        <f>COUNTIFS(E4:E50,"&gt;=91",E4:E50,"&lt;=100")</f>
        <v>3</v>
      </c>
      <c r="F59" s="7">
        <f>COUNTIFS(F4:F50,"&gt;=91",F4:F50,"&lt;=100")</f>
        <v>12</v>
      </c>
      <c r="G59" s="7">
        <f>COUNTIFS(G4:G50,"&gt;=91",G4:G50,"&lt;=100")</f>
        <v>3</v>
      </c>
      <c r="H59" s="7">
        <f>COUNTIFS(H4:H50,"&gt;=91",H4:H50,"&lt;=100")</f>
        <v>1</v>
      </c>
      <c r="I59" s="7">
        <f>COUNTIFS(I4:I50,"&gt;=91",I4:I50,"&lt;=100")</f>
        <v>4</v>
      </c>
    </row>
    <row r="60">
      <c r="A60" t="n">
        <v>46</v>
      </c>
    </row>
  </sheetData>
  <mergeCells count="2">
    <mergeCell ref="A1:I1"/>
    <mergeCell ref="A2:I2"/>
  </mergeCells>
  <conditionalFormatting sqref="E4:I50">
    <cfRule type="cellIs" priority="1" operator="lessThan" dxfId="0">
      <formula>50</formula>
    </cfRule>
    <cfRule type="cellIs" priority="2" operator="equal" dxfId="1">
      <formula>"AA"</formula>
    </cfRule>
    <cfRule type="cellIs" priority="3" operator="equal" dxfId="1">
      <formula>"aa"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2026-10-02T18:58:34Z</dcterms:created>
  <dcterms:modified xsi:type="dcterms:W3CDTF">2026-10-02T18:58:34Z</dcterms:modified>
</cp:coreProperties>
</file>